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314136-05FA-4106-B318-ACA03C3CAB5D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Dashboard" sheetId="1" r:id="rId1"/>
    <sheet name="Data" sheetId="2" r:id="rId2"/>
    <sheet name="Lists" sheetId="3" state="hidden" r:id="rId3"/>
    <sheet name="Report" sheetId="4" r:id="rId4"/>
  </sheets>
  <definedNames>
    <definedName name="_xlnm._FilterDatabase" localSheetId="1" hidden="1">Data!$A$1:$H$11</definedName>
    <definedName name="_xlnm.Print_Area" localSheetId="0">Dashboard!$A$1:$X$62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E12" i="2"/>
  <c r="B6" i="4" s="1"/>
  <c r="H11" i="2"/>
  <c r="G11" i="2"/>
  <c r="H10" i="2"/>
  <c r="G10" i="2"/>
  <c r="T58" i="1" s="1"/>
  <c r="H9" i="2"/>
  <c r="G9" i="2"/>
  <c r="H8" i="2"/>
  <c r="G8" i="2"/>
  <c r="T56" i="1" s="1"/>
  <c r="H7" i="2"/>
  <c r="G7" i="2"/>
  <c r="H6" i="2"/>
  <c r="G6" i="2"/>
  <c r="B51" i="1" s="1"/>
  <c r="H5" i="2"/>
  <c r="G5" i="2"/>
  <c r="H4" i="2"/>
  <c r="G4" i="2"/>
  <c r="H52" i="1" s="1"/>
  <c r="H3" i="2"/>
  <c r="G3" i="2"/>
  <c r="B21" i="4" s="1"/>
  <c r="H2" i="2"/>
  <c r="G2" i="2"/>
  <c r="B23" i="4" s="1"/>
  <c r="V59" i="1"/>
  <c r="T59" i="1"/>
  <c r="S59" i="1"/>
  <c r="U59" i="1" s="1"/>
  <c r="V58" i="1"/>
  <c r="S58" i="1"/>
  <c r="U58" i="1" s="1"/>
  <c r="V57" i="1"/>
  <c r="T57" i="1"/>
  <c r="S57" i="1"/>
  <c r="U57" i="1" s="1"/>
  <c r="V56" i="1"/>
  <c r="S56" i="1"/>
  <c r="U56" i="1" s="1"/>
  <c r="V55" i="1"/>
  <c r="T55" i="1"/>
  <c r="S55" i="1"/>
  <c r="U55" i="1" s="1"/>
  <c r="V54" i="1"/>
  <c r="S54" i="1"/>
  <c r="U54" i="1" s="1"/>
  <c r="U53" i="1"/>
  <c r="S53" i="1"/>
  <c r="T53" i="1" s="1"/>
  <c r="O53" i="1"/>
  <c r="D53" i="1"/>
  <c r="C53" i="1"/>
  <c r="V52" i="1"/>
  <c r="U52" i="1"/>
  <c r="S52" i="1"/>
  <c r="P52" i="1"/>
  <c r="O52" i="1"/>
  <c r="J52" i="1"/>
  <c r="I52" i="1"/>
  <c r="D52" i="1"/>
  <c r="C52" i="1"/>
  <c r="B52" i="1"/>
  <c r="S51" i="1"/>
  <c r="V51" i="1" s="1"/>
  <c r="P51" i="1"/>
  <c r="O51" i="1"/>
  <c r="J51" i="1"/>
  <c r="J53" i="1" s="1"/>
  <c r="I51" i="1"/>
  <c r="H51" i="1"/>
  <c r="D51" i="1"/>
  <c r="C51" i="1"/>
  <c r="V50" i="1"/>
  <c r="T50" i="1"/>
  <c r="S50" i="1"/>
  <c r="U50" i="1" s="1"/>
  <c r="P50" i="1"/>
  <c r="P53" i="1" s="1"/>
  <c r="O50" i="1"/>
  <c r="N50" i="1"/>
  <c r="J50" i="1"/>
  <c r="I50" i="1"/>
  <c r="I53" i="1" s="1"/>
  <c r="D50" i="1"/>
  <c r="D54" i="1" s="1"/>
  <c r="C50" i="1"/>
  <c r="C54" i="1" s="1"/>
  <c r="B50" i="1"/>
  <c r="M8" i="1"/>
  <c r="G8" i="1"/>
  <c r="A8" i="1"/>
  <c r="C23" i="4" l="1"/>
  <c r="B13" i="4"/>
  <c r="B15" i="4"/>
  <c r="B20" i="4"/>
  <c r="C20" i="4" s="1"/>
  <c r="B22" i="4"/>
  <c r="B24" i="4"/>
  <c r="S8" i="1"/>
  <c r="S13" i="1"/>
  <c r="H50" i="1"/>
  <c r="H53" i="1" s="1"/>
  <c r="N51" i="1"/>
  <c r="T51" i="1"/>
  <c r="T60" i="1" s="1"/>
  <c r="B53" i="1"/>
  <c r="B54" i="1" s="1"/>
  <c r="V53" i="1"/>
  <c r="V60" i="1" s="1"/>
  <c r="G12" i="2"/>
  <c r="B5" i="4" s="1"/>
  <c r="B7" i="4"/>
  <c r="B9" i="4" s="1"/>
  <c r="U51" i="1"/>
  <c r="U60" i="1" s="1"/>
  <c r="N52" i="1"/>
  <c r="T52" i="1"/>
  <c r="T54" i="1"/>
  <c r="B14" i="4"/>
  <c r="C14" i="4" s="1"/>
  <c r="B16" i="4"/>
  <c r="C16" i="4" s="1"/>
  <c r="B25" i="4"/>
  <c r="C25" i="4" s="1"/>
  <c r="A13" i="1"/>
  <c r="C15" i="4" l="1"/>
  <c r="G13" i="1"/>
  <c r="B8" i="4"/>
  <c r="M13" i="1"/>
  <c r="C24" i="4"/>
  <c r="C13" i="4"/>
  <c r="C22" i="4"/>
  <c r="N53" i="1"/>
  <c r="C21" i="4"/>
</calcChain>
</file>

<file path=xl/sharedStrings.xml><?xml version="1.0" encoding="utf-8"?>
<sst xmlns="http://schemas.openxmlformats.org/spreadsheetml/2006/main" count="170" uniqueCount="83">
  <si>
    <t>Set the three filters, and every card, chart and table on this page follows.</t>
  </si>
  <si>
    <t>Region</t>
  </si>
  <si>
    <t>Product</t>
  </si>
  <si>
    <t>Salesperson</t>
  </si>
  <si>
    <t>Click a yellow cell and use its dropdown. “All” clears that filter.</t>
  </si>
  <si>
    <t>All</t>
  </si>
  <si>
    <t>Revenue</t>
  </si>
  <si>
    <t>Units sold</t>
  </si>
  <si>
    <t>Transactions</t>
  </si>
  <si>
    <t>Average order value</t>
  </si>
  <si>
    <t>Quantity x unit price, filtered</t>
  </si>
  <si>
    <t>Items moved in the selection</t>
  </si>
  <si>
    <t>Sales lines in the selection</t>
  </si>
  <si>
    <t>Revenue per transaction</t>
  </si>
  <si>
    <t>Share of period total</t>
  </si>
  <si>
    <t>Top product</t>
  </si>
  <si>
    <t>Top salesperson</t>
  </si>
  <si>
    <t>Best day</t>
  </si>
  <si>
    <t>Against ₦3,689,000 for 1–10 Sept</t>
  </si>
  <si>
    <t>Largest revenue line</t>
  </si>
  <si>
    <t>Most revenue closed</t>
  </si>
  <si>
    <t>Highest single-day revenue</t>
  </si>
  <si>
    <t>Revenue by product</t>
  </si>
  <si>
    <t>Revenue by region</t>
  </si>
  <si>
    <t>Revenue by salesperson</t>
  </si>
  <si>
    <t>Revenue by day</t>
  </si>
  <si>
    <t>Units</t>
  </si>
  <si>
    <t>Deals</t>
  </si>
  <si>
    <t>Date</t>
  </si>
  <si>
    <t>Laptop</t>
  </si>
  <si>
    <t>Lagos</t>
  </si>
  <si>
    <t>David</t>
  </si>
  <si>
    <t>Monitor</t>
  </si>
  <si>
    <t>Ogun</t>
  </si>
  <si>
    <t>Sarah</t>
  </si>
  <si>
    <t>Keyboard</t>
  </si>
  <si>
    <t>Oyo</t>
  </si>
  <si>
    <t>James</t>
  </si>
  <si>
    <t>Mouse</t>
  </si>
  <si>
    <t>Total</t>
  </si>
  <si>
    <t>Revenue = quantity x unit price. Average order value = revenue ÷ transactions. Empty charts or dashes mean no transaction matches the current filters.</t>
  </si>
  <si>
    <t>Quantity</t>
  </si>
  <si>
    <t>Unit Price</t>
  </si>
  <si>
    <t>In current view</t>
  </si>
  <si>
    <t>TOTAL</t>
  </si>
  <si>
    <t>How to read this sheet</t>
  </si>
  <si>
    <t>Blue cells are the source data you type in; black cells are formulas — Revenue = Quantity x Unit Price.</t>
  </si>
  <si>
    <t>“In current view” returns 1 when a row passes the three dropdown filters on the Dashboard, 0 when it does not.</t>
  </si>
  <si>
    <t>Every card, table and chart on the Dashboard reads this column, so one dropdown change updates the whole page.</t>
  </si>
  <si>
    <t>Source: transactions supplied by the user, 1–10 September 2026. Quantity sums to 70 units (the original table showed 66).</t>
  </si>
  <si>
    <t>Sales review — 1 to 10 September 2026</t>
  </si>
  <si>
    <t>These figures cover the whole period and do not move with the Dashboard filters.</t>
  </si>
  <si>
    <t>Headline numbers</t>
  </si>
  <si>
    <t>Total revenue</t>
  </si>
  <si>
    <t>Sum of all ten transactions.</t>
  </si>
  <si>
    <t>The ten rows add to 70; the original summary row showed 66.</t>
  </si>
  <si>
    <t>One line per sale.</t>
  </si>
  <si>
    <t>Revenue divided by transactions.</t>
  </si>
  <si>
    <t>Average units per sale</t>
  </si>
  <si>
    <t>Pulled up by the 20-unit mouse order on 10/09.</t>
  </si>
  <si>
    <t>Where the revenue comes from</t>
  </si>
  <si>
    <t>Share</t>
  </si>
  <si>
    <t>Reading</t>
  </si>
  <si>
    <t>Three sales carry most of the period. One lost laptop deal costs more than a week of mice.</t>
  </si>
  <si>
    <t>Steady mid-ticket item; both sales landed in Ogun.</t>
  </si>
  <si>
    <t>Low ticket and low volume — the weakest line on both measures.</t>
  </si>
  <si>
    <t>45 of the 70 units, but the smallest revenue share. Volume is not value here.</t>
  </si>
  <si>
    <t>Regions and people</t>
  </si>
  <si>
    <t>Group</t>
  </si>
  <si>
    <t>Four deals and the widest product mix of the three regions.</t>
  </si>
  <si>
    <t>The only region with no laptop sale, which caps its ceiling.</t>
  </si>
  <si>
    <t>Fewest deals, but one laptop sale keeps it competitive.</t>
  </si>
  <si>
    <t>Three deals, all high-ticket — the best revenue per deal.</t>
  </si>
  <si>
    <t>Most deals, but half of them are low-ticket accessories.</t>
  </si>
  <si>
    <t>Mixed basket; monitors do most of the work.</t>
  </si>
  <si>
    <t>What to do next</t>
  </si>
  <si>
    <t>Protect laptop volume. Three units out of 70 produce the largest slice of revenue, so one lost laptop deal hurts more than any accessory shortfall.</t>
  </si>
  <si>
    <t>Attach accessories to laptop sales. Mice and keyboards already move in volume; bundling them lifts order value without new footfall.</t>
  </si>
  <si>
    <t>Give Ogun a laptop push. It is the only region with no laptop sale in the period, and it already converts monitors well.</t>
  </si>
  <si>
    <t>Share David's approach to high-ticket deals with Sarah, whose deal count is highest but whose basket skews to accessories.</t>
  </si>
  <si>
    <t>Correct the source total: the quantity column sums to 70 units, not 66. Revenue of ₦3,689,000 is correct.</t>
  </si>
  <si>
    <t>Source: transaction list supplied by the user, 1–10 September 2026. Every figure is a formula over the Data sheet.</t>
  </si>
  <si>
    <t xml:space="preserve">                      Sales performance —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</si>
</sst>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₦#,##0;&quot;(₦&quot;#,##0\);\-"/>
    <numFmt numFmtId="165" formatCode="#,##0;\(#,##0\);\-"/>
    <numFmt numFmtId="166" formatCode="0.0%"/>
    <numFmt numFmtId="167" formatCode="dd\ mmm"/>
    <numFmt numFmtId="169" formatCode="dd/mm/yyyy"/>
    <numFmt numFmtId="170" formatCode="#,##0.0"/>
  </numFmts>
  <fonts count="21" x14ac:knownFonts="1">
    <font>
      <sz val="11"/>
      <color theme="1"/>
      <name val="Calibri"/>
      <family val="2"/>
      <charset val="1"/>
    </font>
    <font>
      <b/>
      <sz val="18"/>
      <color rgb="FF10263A"/>
      <name val="Arial"/>
      <charset val="1"/>
    </font>
    <font>
      <sz val="10"/>
      <color rgb="FF4A626E"/>
      <name val="Arial"/>
      <charset val="1"/>
    </font>
    <font>
      <b/>
      <sz val="9"/>
      <color rgb="FF4A626E"/>
      <name val="Arial"/>
      <charset val="1"/>
    </font>
    <font>
      <i/>
      <sz val="9"/>
      <color rgb="FF8299A4"/>
      <name val="Arial"/>
      <charset val="1"/>
    </font>
    <font>
      <b/>
      <sz val="11"/>
      <color rgb="FF0000FF"/>
      <name val="Arial"/>
      <charset val="1"/>
    </font>
    <font>
      <b/>
      <sz val="9"/>
      <color rgb="FF1F6F6B"/>
      <name val="Arial"/>
      <charset val="1"/>
    </font>
    <font>
      <b/>
      <sz val="9"/>
      <color rgb="FF2F5D9E"/>
      <name val="Arial"/>
      <charset val="1"/>
    </font>
    <font>
      <b/>
      <sz val="9"/>
      <color rgb="FFA97F1C"/>
      <name val="Arial"/>
      <charset val="1"/>
    </font>
    <font>
      <b/>
      <sz val="9"/>
      <color rgb="FFA8443C"/>
      <name val="Arial"/>
      <charset val="1"/>
    </font>
    <font>
      <b/>
      <sz val="16"/>
      <color rgb="FF10263A"/>
      <name val="Arial"/>
      <charset val="1"/>
    </font>
    <font>
      <sz val="8.5"/>
      <color rgb="FF8299A4"/>
      <name val="Arial"/>
      <charset val="1"/>
    </font>
    <font>
      <b/>
      <sz val="10"/>
      <color rgb="FF1F6F6B"/>
      <name val="Arial"/>
      <charset val="1"/>
    </font>
    <font>
      <sz val="10"/>
      <color rgb="FF10263A"/>
      <name val="Arial"/>
      <charset val="1"/>
    </font>
    <font>
      <b/>
      <sz val="10"/>
      <color rgb="FF10263A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4A626E"/>
      <name val="Arial"/>
      <charset val="1"/>
    </font>
    <font>
      <b/>
      <sz val="11"/>
      <color rgb="FF1F6F6B"/>
      <name val="Arial"/>
      <charset val="1"/>
    </font>
    <font>
      <b/>
      <sz val="11"/>
      <color rgb="FF10263A"/>
      <name val="Arial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B8"/>
        <bgColor rgb="FFFFFF99"/>
      </patternFill>
    </fill>
    <fill>
      <patternFill patternType="solid">
        <fgColor rgb="FFF2F6F8"/>
        <bgColor rgb="FFFFFFFF"/>
      </patternFill>
    </fill>
    <fill>
      <patternFill patternType="solid">
        <fgColor rgb="FFE4EBEF"/>
        <bgColor rgb="FFF2F6F8"/>
      </patternFill>
    </fill>
    <fill>
      <patternFill patternType="solid">
        <fgColor rgb="FF10263A"/>
        <bgColor rgb="FF333333"/>
      </patternFill>
    </fill>
  </fills>
  <borders count="9">
    <border>
      <left/>
      <right/>
      <top/>
      <bottom/>
      <diagonal/>
    </border>
    <border>
      <left style="thin">
        <color rgb="FFD5DEE3"/>
      </left>
      <right style="thin">
        <color rgb="FFD5DEE3"/>
      </right>
      <top style="thin">
        <color rgb="FFD5DEE3"/>
      </top>
      <bottom style="thin">
        <color rgb="FFD5DEE3"/>
      </bottom>
      <diagonal/>
    </border>
    <border>
      <left style="thin">
        <color rgb="FFD5DEE3"/>
      </left>
      <right style="thin">
        <color rgb="FFD5DEE3"/>
      </right>
      <top style="medium">
        <color rgb="FF1F6F6B"/>
      </top>
      <bottom style="thin">
        <color rgb="FFD5DEE3"/>
      </bottom>
      <diagonal/>
    </border>
    <border>
      <left style="thin">
        <color rgb="FFD5DEE3"/>
      </left>
      <right style="thin">
        <color rgb="FFD5DEE3"/>
      </right>
      <top style="medium">
        <color rgb="FF2F5D9E"/>
      </top>
      <bottom style="thin">
        <color rgb="FFD5DEE3"/>
      </bottom>
      <diagonal/>
    </border>
    <border>
      <left style="thin">
        <color rgb="FFD5DEE3"/>
      </left>
      <right style="thin">
        <color rgb="FFD5DEE3"/>
      </right>
      <top style="medium">
        <color rgb="FFA97F1C"/>
      </top>
      <bottom style="thin">
        <color rgb="FFD5DEE3"/>
      </bottom>
      <diagonal/>
    </border>
    <border>
      <left style="thin">
        <color rgb="FFD5DEE3"/>
      </left>
      <right style="thin">
        <color rgb="FFD5DEE3"/>
      </right>
      <top style="medium">
        <color rgb="FFA8443C"/>
      </top>
      <bottom style="thin">
        <color rgb="FFD5DEE3"/>
      </bottom>
      <diagonal/>
    </border>
    <border>
      <left/>
      <right/>
      <top/>
      <bottom style="thin">
        <color rgb="FF10263A"/>
      </bottom>
      <diagonal/>
    </border>
    <border>
      <left style="thin">
        <color rgb="FFD5DEE3"/>
      </left>
      <right style="thin">
        <color rgb="FFD5DEE3"/>
      </right>
      <top style="thin">
        <color rgb="FF10263A"/>
      </top>
      <bottom style="thin">
        <color rgb="FFD5DEE3"/>
      </bottom>
      <diagonal/>
    </border>
    <border>
      <left/>
      <right/>
      <top style="thin">
        <color rgb="FF10263A"/>
      </top>
      <bottom style="double">
        <color rgb="FF10263A"/>
      </bottom>
      <diagonal/>
    </border>
  </borders>
  <cellStyleXfs count="1">
    <xf numFmtId="0" fontId="0" fillId="0" borderId="0"/>
  </cellStyleXfs>
  <cellXfs count="54">
    <xf numFmtId="0" fontId="0" fillId="0" borderId="0" xfId="0"/>
    <xf numFmtId="167" fontId="10" fillId="3" borderId="1" xfId="0" applyNumberFormat="1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166" fontId="10" fillId="3" borderId="1" xfId="0" applyNumberFormat="1" applyFont="1" applyFill="1" applyBorder="1" applyAlignment="1">
      <alignment horizontal="left" vertical="center" indent="1"/>
    </xf>
    <xf numFmtId="0" fontId="11" fillId="3" borderId="1" xfId="0" applyFont="1" applyFill="1" applyBorder="1" applyAlignment="1">
      <alignment horizontal="left" vertical="center" indent="1"/>
    </xf>
    <xf numFmtId="165" fontId="10" fillId="3" borderId="1" xfId="0" applyNumberFormat="1" applyFont="1" applyFill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3" fillId="0" borderId="1" xfId="0" applyFont="1" applyBorder="1"/>
    <xf numFmtId="164" fontId="13" fillId="0" borderId="1" xfId="0" applyNumberFormat="1" applyFont="1" applyBorder="1"/>
    <xf numFmtId="165" fontId="13" fillId="0" borderId="1" xfId="0" applyNumberFormat="1" applyFont="1" applyBorder="1"/>
    <xf numFmtId="167" fontId="13" fillId="0" borderId="1" xfId="0" applyNumberFormat="1" applyFont="1" applyBorder="1"/>
    <xf numFmtId="0" fontId="13" fillId="3" borderId="1" xfId="0" applyFont="1" applyFill="1" applyBorder="1"/>
    <xf numFmtId="164" fontId="13" fillId="3" borderId="1" xfId="0" applyNumberFormat="1" applyFont="1" applyFill="1" applyBorder="1"/>
    <xf numFmtId="165" fontId="13" fillId="3" borderId="1" xfId="0" applyNumberFormat="1" applyFont="1" applyFill="1" applyBorder="1"/>
    <xf numFmtId="167" fontId="13" fillId="3" borderId="1" xfId="0" applyNumberFormat="1" applyFont="1" applyFill="1" applyBorder="1"/>
    <xf numFmtId="0" fontId="14" fillId="4" borderId="7" xfId="0" applyFont="1" applyFill="1" applyBorder="1"/>
    <xf numFmtId="164" fontId="14" fillId="4" borderId="7" xfId="0" applyNumberFormat="1" applyFont="1" applyFill="1" applyBorder="1"/>
    <xf numFmtId="165" fontId="14" fillId="4" borderId="7" xfId="0" applyNumberFormat="1" applyFont="1" applyFill="1" applyBorder="1"/>
    <xf numFmtId="0" fontId="4" fillId="0" borderId="0" xfId="0" applyFont="1"/>
    <xf numFmtId="0" fontId="15" fillId="5" borderId="0" xfId="0" applyFont="1" applyFill="1" applyAlignment="1">
      <alignment horizontal="center" vertical="center"/>
    </xf>
    <xf numFmtId="169" fontId="16" fillId="0" borderId="1" xfId="0" applyNumberFormat="1" applyFont="1" applyBorder="1"/>
    <xf numFmtId="0" fontId="16" fillId="0" borderId="1" xfId="0" applyFont="1" applyBorder="1"/>
    <xf numFmtId="165" fontId="16" fillId="0" borderId="1" xfId="0" applyNumberFormat="1" applyFont="1" applyBorder="1"/>
    <xf numFmtId="164" fontId="16" fillId="0" borderId="1" xfId="0" applyNumberFormat="1" applyFont="1" applyBorder="1"/>
    <xf numFmtId="0" fontId="14" fillId="3" borderId="8" xfId="0" applyFont="1" applyFill="1" applyBorder="1"/>
    <xf numFmtId="165" fontId="14" fillId="3" borderId="8" xfId="0" applyNumberFormat="1" applyFont="1" applyFill="1" applyBorder="1"/>
    <xf numFmtId="164" fontId="14" fillId="3" borderId="8" xfId="0" applyNumberFormat="1" applyFont="1" applyFill="1" applyBorder="1"/>
    <xf numFmtId="0" fontId="14" fillId="0" borderId="0" xfId="0" applyFont="1"/>
    <xf numFmtId="0" fontId="17" fillId="0" borderId="0" xfId="0" applyFont="1"/>
    <xf numFmtId="0" fontId="10" fillId="0" borderId="0" xfId="0" applyFont="1"/>
    <xf numFmtId="0" fontId="18" fillId="0" borderId="6" xfId="0" applyFont="1" applyBorder="1"/>
    <xf numFmtId="0" fontId="0" fillId="0" borderId="6" xfId="0" applyBorder="1"/>
    <xf numFmtId="0" fontId="14" fillId="0" borderId="1" xfId="0" applyFont="1" applyBorder="1"/>
    <xf numFmtId="164" fontId="19" fillId="0" borderId="1" xfId="0" applyNumberFormat="1" applyFont="1" applyBorder="1"/>
    <xf numFmtId="165" fontId="19" fillId="0" borderId="1" xfId="0" applyNumberFormat="1" applyFont="1" applyBorder="1"/>
    <xf numFmtId="170" fontId="19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12" fillId="0" borderId="6" xfId="0" applyFont="1" applyBorder="1"/>
    <xf numFmtId="0" fontId="4" fillId="0" borderId="0" xfId="0" applyFont="1"/>
    <xf numFmtId="0" fontId="13" fillId="0" borderId="0" xfId="0" applyFont="1" applyAlignment="1">
      <alignment vertical="top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7F1C"/>
      <rgbColor rgb="FF800080"/>
      <rgbColor rgb="FF1F6F6B"/>
      <rgbColor rgb="FFD9D9D9"/>
      <rgbColor rgb="FF878787"/>
      <rgbColor rgb="FF9999FF"/>
      <rgbColor rgb="FFA8443C"/>
      <rgbColor rgb="FFFFF2B8"/>
      <rgbColor rgb="FFE4EBEF"/>
      <rgbColor rgb="FF660066"/>
      <rgbColor rgb="FFFF8080"/>
      <rgbColor rgb="FF2F5D9E"/>
      <rgbColor rgb="FFD5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8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4A626E"/>
      <rgbColor rgb="FF8299A4"/>
      <rgbColor rgb="FF10263A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Dashboard!$A$50:$A$53</c:f>
              <c:strCache>
                <c:ptCount val="4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</c:strCache>
            </c:strRef>
          </c:cat>
          <c:val>
            <c:numRef>
              <c:f>Dashboard!$B$50:$B$53</c:f>
              <c:numCache>
                <c:formatCode>\₦#,##0;"(₦"#,##0\);\-</c:formatCode>
                <c:ptCount val="4"/>
                <c:pt idx="0">
                  <c:v>2250000</c:v>
                </c:pt>
                <c:pt idx="1">
                  <c:v>665000</c:v>
                </c:pt>
                <c:pt idx="2">
                  <c:v>234000</c:v>
                </c:pt>
                <c:pt idx="3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F-4B3A-8E39-9B2BD017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10614"/>
        <c:axId val="66088242"/>
      </c:barChart>
      <c:catAx>
        <c:axId val="462106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88242"/>
        <c:crosses val="autoZero"/>
        <c:auto val="1"/>
        <c:lblAlgn val="ctr"/>
        <c:lblOffset val="100"/>
        <c:noMultiLvlLbl val="0"/>
      </c:catAx>
      <c:valAx>
        <c:axId val="66088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₦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106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Share of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E46-4B8F-B614-629AFE21DA8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E46-4B8F-B614-629AFE21DA8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E46-4B8F-B614-629AFE21DA8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E46-4B8F-B614-629AFE21DA8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E46-4B8F-B614-629AFE21DA8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E46-4B8F-B614-629AFE21D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Dashboard!$G$50:$G$52</c:f>
              <c:strCache>
                <c:ptCount val="3"/>
                <c:pt idx="0">
                  <c:v>Lagos</c:v>
                </c:pt>
                <c:pt idx="1">
                  <c:v>Ogun</c:v>
                </c:pt>
                <c:pt idx="2">
                  <c:v>Oyo</c:v>
                </c:pt>
              </c:strCache>
            </c:strRef>
          </c:cat>
          <c:val>
            <c:numRef>
              <c:f>Dashboard!$H$50:$H$52</c:f>
              <c:numCache>
                <c:formatCode>\₦#,##0;"(₦"#,##0\);\-</c:formatCode>
                <c:ptCount val="3"/>
                <c:pt idx="0">
                  <c:v>1734000</c:v>
                </c:pt>
                <c:pt idx="1">
                  <c:v>785000</c:v>
                </c:pt>
                <c:pt idx="2">
                  <c:v>1170000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46-4B8F-B614-629AFE21D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revenue, 1–10 September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Dashboard!$T$49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Dashboard!$S$50:$S$59</c:f>
              <c:numCache>
                <c:formatCode>dd\ mmm</c:formatCode>
                <c:ptCount val="1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</c:numCache>
            </c:numRef>
          </c:cat>
          <c:val>
            <c:numRef>
              <c:f>Dashboard!$T$50:$T$59</c:f>
              <c:numCache>
                <c:formatCode>\₦#,##0;"(₦"#,##0\);\-</c:formatCode>
                <c:ptCount val="10"/>
                <c:pt idx="0">
                  <c:v>900000</c:v>
                </c:pt>
                <c:pt idx="1">
                  <c:v>120000</c:v>
                </c:pt>
                <c:pt idx="2">
                  <c:v>90000</c:v>
                </c:pt>
                <c:pt idx="3">
                  <c:v>450000</c:v>
                </c:pt>
                <c:pt idx="4">
                  <c:v>285000</c:v>
                </c:pt>
                <c:pt idx="5">
                  <c:v>180000</c:v>
                </c:pt>
                <c:pt idx="6">
                  <c:v>144000</c:v>
                </c:pt>
                <c:pt idx="7">
                  <c:v>380000</c:v>
                </c:pt>
                <c:pt idx="8">
                  <c:v>900000</c:v>
                </c:pt>
                <c:pt idx="9">
                  <c:v>240000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5A-4EEB-B2B3-8A82E48A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673536"/>
        <c:axId val="22054462"/>
      </c:lineChart>
      <c:dateAx>
        <c:axId val="92673536"/>
        <c:scaling>
          <c:orientation val="minMax"/>
        </c:scaling>
        <c:delete val="0"/>
        <c:axPos val="b"/>
        <c:numFmt formatCode="d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54462"/>
        <c:crosses val="autoZero"/>
        <c:auto val="1"/>
        <c:lblOffset val="100"/>
        <c:baseTimeUnit val="days"/>
      </c:dateAx>
      <c:valAx>
        <c:axId val="22054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₦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73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Dashboard!$M$50:$M$52</c:f>
              <c:strCache>
                <c:ptCount val="3"/>
                <c:pt idx="0">
                  <c:v>David</c:v>
                </c:pt>
                <c:pt idx="1">
                  <c:v>Sarah</c:v>
                </c:pt>
                <c:pt idx="2">
                  <c:v>James</c:v>
                </c:pt>
              </c:strCache>
            </c:strRef>
          </c:cat>
          <c:val>
            <c:numRef>
              <c:f>Dashboard!$N$50:$N$52</c:f>
              <c:numCache>
                <c:formatCode>\₦#,##0;"(₦"#,##0\);\-</c:formatCode>
                <c:ptCount val="3"/>
                <c:pt idx="0">
                  <c:v>2085000</c:v>
                </c:pt>
                <c:pt idx="1">
                  <c:v>954000</c:v>
                </c:pt>
                <c:pt idx="2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8-4454-ADA1-EDDB3DEA0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36814"/>
        <c:axId val="92098646"/>
      </c:barChart>
      <c:catAx>
        <c:axId val="51436814"/>
        <c:scaling>
          <c:orientation val="minMax"/>
        </c:scaling>
        <c:delete val="0"/>
        <c:axPos val="l"/>
        <c:numFmt formatCode="\₦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98646"/>
        <c:crosses val="autoZero"/>
        <c:auto val="1"/>
        <c:lblAlgn val="ctr"/>
        <c:lblOffset val="100"/>
        <c:noMultiLvlLbl val="0"/>
      </c:catAx>
      <c:valAx>
        <c:axId val="920986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₦#,##0;&quot;(₦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36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8</xdr:col>
      <xdr:colOff>438480</xdr:colOff>
      <xdr:row>29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109305</xdr:colOff>
      <xdr:row>16</xdr:row>
      <xdr:rowOff>0</xdr:rowOff>
    </xdr:from>
    <xdr:to>
      <xdr:col>22</xdr:col>
      <xdr:colOff>1267</xdr:colOff>
      <xdr:row>29</xdr:row>
      <xdr:rowOff>187200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438480</xdr:colOff>
      <xdr:row>44</xdr:row>
      <xdr:rowOff>187200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31</xdr:row>
      <xdr:rowOff>0</xdr:rowOff>
    </xdr:from>
    <xdr:to>
      <xdr:col>22</xdr:col>
      <xdr:colOff>15614</xdr:colOff>
      <xdr:row>44</xdr:row>
      <xdr:rowOff>187200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2"/>
  <sheetViews>
    <sheetView showGridLines="0" tabSelected="1" zoomScale="61" zoomScaleNormal="100" workbookViewId="0">
      <pane ySplit="6" topLeftCell="A7" activePane="bottomLeft" state="frozen"/>
      <selection pane="bottomLeft" activeCell="AB42" sqref="AB42"/>
    </sheetView>
  </sheetViews>
  <sheetFormatPr defaultColWidth="8.7109375" defaultRowHeight="15" x14ac:dyDescent="0.25"/>
  <cols>
    <col min="1" max="1" width="13" customWidth="1"/>
    <col min="2" max="2" width="12.42578125" customWidth="1"/>
    <col min="3" max="4" width="8" customWidth="1"/>
    <col min="5" max="6" width="2.140625" customWidth="1"/>
    <col min="7" max="7" width="13" customWidth="1"/>
    <col min="8" max="8" width="12.42578125" customWidth="1"/>
    <col min="9" max="10" width="8" customWidth="1"/>
    <col min="11" max="12" width="2.140625" customWidth="1"/>
    <col min="13" max="13" width="13" customWidth="1"/>
    <col min="14" max="14" width="12.42578125" customWidth="1"/>
    <col min="15" max="16" width="8" customWidth="1"/>
    <col min="17" max="18" width="2.140625" customWidth="1"/>
    <col min="19" max="19" width="13" customWidth="1"/>
    <col min="20" max="20" width="12.42578125" customWidth="1"/>
    <col min="21" max="22" width="8" customWidth="1"/>
    <col min="23" max="24" width="2.140625" customWidth="1"/>
  </cols>
  <sheetData>
    <row r="1" spans="1:24" ht="25.5" customHeight="1" x14ac:dyDescent="0.35">
      <c r="A1" s="53" t="s">
        <v>82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24" x14ac:dyDescent="0.2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6" customHeight="1" x14ac:dyDescent="0.25"/>
    <row r="4" spans="1:24" ht="15" customHeight="1" x14ac:dyDescent="0.25">
      <c r="A4" s="15" t="s">
        <v>1</v>
      </c>
      <c r="G4" s="15" t="s">
        <v>2</v>
      </c>
      <c r="M4" s="15" t="s">
        <v>3</v>
      </c>
      <c r="S4" s="12" t="s">
        <v>4</v>
      </c>
      <c r="T4" s="12"/>
      <c r="U4" s="12"/>
      <c r="V4" s="12"/>
      <c r="W4" s="12"/>
      <c r="X4" s="12"/>
    </row>
    <row r="5" spans="1:24" ht="21.75" customHeight="1" x14ac:dyDescent="0.25">
      <c r="A5" s="11" t="s">
        <v>5</v>
      </c>
      <c r="B5" s="11"/>
      <c r="C5" s="11"/>
      <c r="D5" s="11"/>
      <c r="G5" s="11" t="s">
        <v>5</v>
      </c>
      <c r="H5" s="11"/>
      <c r="I5" s="11"/>
      <c r="J5" s="11"/>
      <c r="M5" s="11" t="s">
        <v>5</v>
      </c>
      <c r="N5" s="11"/>
      <c r="O5" s="11"/>
      <c r="P5" s="11"/>
      <c r="S5" s="12"/>
      <c r="T5" s="12"/>
      <c r="U5" s="12"/>
      <c r="V5" s="12"/>
      <c r="W5" s="12"/>
      <c r="X5" s="12"/>
    </row>
    <row r="6" spans="1:24" ht="7.5" customHeight="1" x14ac:dyDescent="0.25"/>
    <row r="7" spans="1:24" ht="15.75" customHeight="1" x14ac:dyDescent="0.25">
      <c r="A7" s="10" t="s">
        <v>6</v>
      </c>
      <c r="B7" s="10"/>
      <c r="C7" s="10"/>
      <c r="D7" s="10"/>
      <c r="G7" s="9" t="s">
        <v>7</v>
      </c>
      <c r="H7" s="9"/>
      <c r="I7" s="9"/>
      <c r="J7" s="9"/>
      <c r="M7" s="8" t="s">
        <v>8</v>
      </c>
      <c r="N7" s="8"/>
      <c r="O7" s="8"/>
      <c r="P7" s="8"/>
      <c r="S7" s="7" t="s">
        <v>9</v>
      </c>
      <c r="T7" s="7"/>
      <c r="U7" s="7"/>
      <c r="V7" s="7"/>
    </row>
    <row r="8" spans="1:24" ht="12.75" customHeight="1" x14ac:dyDescent="0.25">
      <c r="A8" s="6">
        <f>SUMIFS(Data!$G$2:$G$11,Data!$H$2:$H$11,1)</f>
        <v>3689000</v>
      </c>
      <c r="B8" s="6"/>
      <c r="C8" s="6"/>
      <c r="D8" s="6"/>
      <c r="G8" s="5">
        <f>SUMIFS(Data!$E$2:$E$11,Data!$H$2:$H$11,1)</f>
        <v>70</v>
      </c>
      <c r="H8" s="5"/>
      <c r="I8" s="5"/>
      <c r="J8" s="5"/>
      <c r="M8" s="5">
        <f>COUNTIFS(Data!$H$2:$H$11,1)</f>
        <v>10</v>
      </c>
      <c r="N8" s="5"/>
      <c r="O8" s="5"/>
      <c r="P8" s="5"/>
      <c r="S8" s="6">
        <f>IFERROR(A8/M8,0)</f>
        <v>368900</v>
      </c>
      <c r="T8" s="6"/>
      <c r="U8" s="6"/>
      <c r="V8" s="6"/>
    </row>
    <row r="9" spans="1:24" ht="10.5" customHeight="1" x14ac:dyDescent="0.25">
      <c r="A9" s="6"/>
      <c r="B9" s="6"/>
      <c r="C9" s="6"/>
      <c r="D9" s="6"/>
      <c r="G9" s="5"/>
      <c r="H9" s="5"/>
      <c r="I9" s="5"/>
      <c r="J9" s="5"/>
      <c r="M9" s="5"/>
      <c r="N9" s="5"/>
      <c r="O9" s="5"/>
      <c r="P9" s="5"/>
      <c r="S9" s="6"/>
      <c r="T9" s="6"/>
      <c r="U9" s="6"/>
      <c r="V9" s="6"/>
    </row>
    <row r="10" spans="1:24" ht="13.5" customHeight="1" x14ac:dyDescent="0.25">
      <c r="A10" s="4" t="s">
        <v>10</v>
      </c>
      <c r="B10" s="4"/>
      <c r="C10" s="4"/>
      <c r="D10" s="4"/>
      <c r="G10" s="4" t="s">
        <v>11</v>
      </c>
      <c r="H10" s="4"/>
      <c r="I10" s="4"/>
      <c r="J10" s="4"/>
      <c r="M10" s="4" t="s">
        <v>12</v>
      </c>
      <c r="N10" s="4"/>
      <c r="O10" s="4"/>
      <c r="P10" s="4"/>
      <c r="S10" s="4" t="s">
        <v>13</v>
      </c>
      <c r="T10" s="4"/>
      <c r="U10" s="4"/>
      <c r="V10" s="4"/>
    </row>
    <row r="11" spans="1:24" ht="7.5" customHeight="1" x14ac:dyDescent="0.25"/>
    <row r="12" spans="1:24" ht="15.75" customHeight="1" x14ac:dyDescent="0.25">
      <c r="A12" s="10" t="s">
        <v>14</v>
      </c>
      <c r="B12" s="10"/>
      <c r="C12" s="10"/>
      <c r="D12" s="10"/>
      <c r="G12" s="9" t="s">
        <v>15</v>
      </c>
      <c r="H12" s="9"/>
      <c r="I12" s="9"/>
      <c r="J12" s="9"/>
      <c r="M12" s="8" t="s">
        <v>16</v>
      </c>
      <c r="N12" s="8"/>
      <c r="O12" s="8"/>
      <c r="P12" s="8"/>
      <c r="S12" s="7" t="s">
        <v>17</v>
      </c>
      <c r="T12" s="7"/>
      <c r="U12" s="7"/>
      <c r="V12" s="7"/>
    </row>
    <row r="13" spans="1:24" ht="12.75" customHeight="1" x14ac:dyDescent="0.25">
      <c r="A13" s="3">
        <f>IFERROR(A8/Data!$G$12,0)</f>
        <v>1</v>
      </c>
      <c r="B13" s="3"/>
      <c r="C13" s="3"/>
      <c r="D13" s="3"/>
      <c r="G13" s="2" t="str">
        <f>IF($A$8=0,"—",INDEX($A$50:$A$53,MATCH(MAX($B$50:$B$53),$B$50:$B$53,0)))</f>
        <v>Laptop</v>
      </c>
      <c r="H13" s="2"/>
      <c r="I13" s="2"/>
      <c r="J13" s="2"/>
      <c r="M13" s="2" t="str">
        <f>IF($A$8=0,"—",INDEX($M$50:$M$52,MATCH(MAX($N$50:$N$52),$N$50:$N$52,0)))</f>
        <v>David</v>
      </c>
      <c r="N13" s="2"/>
      <c r="O13" s="2"/>
      <c r="P13" s="2"/>
      <c r="S13" s="1">
        <f>IF($A$8=0,"—",INDEX($S$50:$S$59,MATCH(MAX($T$50:$T$59),$T$50:$T$59,0)))</f>
        <v>46266</v>
      </c>
      <c r="T13" s="1"/>
      <c r="U13" s="1"/>
      <c r="V13" s="1"/>
    </row>
    <row r="14" spans="1:24" ht="10.5" customHeight="1" x14ac:dyDescent="0.25">
      <c r="A14" s="3"/>
      <c r="B14" s="3"/>
      <c r="C14" s="3"/>
      <c r="D14" s="3"/>
      <c r="G14" s="2"/>
      <c r="H14" s="2"/>
      <c r="I14" s="2"/>
      <c r="J14" s="2"/>
      <c r="M14" s="2"/>
      <c r="N14" s="2"/>
      <c r="O14" s="2"/>
      <c r="P14" s="2"/>
      <c r="S14" s="1"/>
      <c r="T14" s="1"/>
      <c r="U14" s="1"/>
      <c r="V14" s="1"/>
    </row>
    <row r="15" spans="1:24" ht="13.5" customHeight="1" x14ac:dyDescent="0.25">
      <c r="A15" s="4" t="s">
        <v>18</v>
      </c>
      <c r="B15" s="4"/>
      <c r="C15" s="4"/>
      <c r="D15" s="4"/>
      <c r="G15" s="4" t="s">
        <v>19</v>
      </c>
      <c r="H15" s="4"/>
      <c r="I15" s="4"/>
      <c r="J15" s="4"/>
      <c r="M15" s="4" t="s">
        <v>20</v>
      </c>
      <c r="N15" s="4"/>
      <c r="O15" s="4"/>
      <c r="P15" s="4"/>
      <c r="S15" s="4" t="s">
        <v>21</v>
      </c>
      <c r="T15" s="4"/>
      <c r="U15" s="4"/>
      <c r="V15" s="4"/>
    </row>
    <row r="16" spans="1:24" ht="9.75" customHeight="1" x14ac:dyDescent="0.25"/>
    <row r="48" spans="1:22" x14ac:dyDescent="0.25">
      <c r="A48" s="50" t="s">
        <v>22</v>
      </c>
      <c r="B48" s="50"/>
      <c r="C48" s="50"/>
      <c r="D48" s="50"/>
      <c r="G48" s="50" t="s">
        <v>23</v>
      </c>
      <c r="H48" s="50"/>
      <c r="I48" s="50"/>
      <c r="J48" s="50"/>
      <c r="M48" s="50" t="s">
        <v>24</v>
      </c>
      <c r="N48" s="50"/>
      <c r="O48" s="50"/>
      <c r="P48" s="50"/>
      <c r="S48" s="50" t="s">
        <v>25</v>
      </c>
      <c r="T48" s="50"/>
      <c r="U48" s="50"/>
      <c r="V48" s="50"/>
    </row>
    <row r="49" spans="1:24" x14ac:dyDescent="0.25">
      <c r="A49" s="16" t="s">
        <v>2</v>
      </c>
      <c r="B49" s="17" t="s">
        <v>6</v>
      </c>
      <c r="C49" s="17" t="s">
        <v>26</v>
      </c>
      <c r="D49" s="17" t="s">
        <v>27</v>
      </c>
      <c r="G49" s="16" t="s">
        <v>1</v>
      </c>
      <c r="H49" s="17" t="s">
        <v>6</v>
      </c>
      <c r="I49" s="17" t="s">
        <v>26</v>
      </c>
      <c r="J49" s="17" t="s">
        <v>27</v>
      </c>
      <c r="M49" s="16" t="s">
        <v>3</v>
      </c>
      <c r="N49" s="17" t="s">
        <v>6</v>
      </c>
      <c r="O49" s="17" t="s">
        <v>26</v>
      </c>
      <c r="P49" s="17" t="s">
        <v>27</v>
      </c>
      <c r="S49" s="16" t="s">
        <v>28</v>
      </c>
      <c r="T49" s="17" t="s">
        <v>6</v>
      </c>
      <c r="U49" s="17" t="s">
        <v>26</v>
      </c>
      <c r="V49" s="17" t="s">
        <v>27</v>
      </c>
    </row>
    <row r="50" spans="1:24" x14ac:dyDescent="0.25">
      <c r="A50" s="18" t="s">
        <v>29</v>
      </c>
      <c r="B50" s="19">
        <f>SUMIFS(Data!$G$2:$G$11,Data!$H$2:$H$11,1,Data!$B$2:$B$11,$A50)</f>
        <v>2250000</v>
      </c>
      <c r="C50" s="20">
        <f>SUMIFS(Data!$E$2:$E$11,Data!$H$2:$H$11,1,Data!$B$2:$B$11,$A50)</f>
        <v>5</v>
      </c>
      <c r="D50" s="20">
        <f>COUNTIFS(Data!$H$2:$H$11,1,Data!$B$2:$B$11,$A50)</f>
        <v>3</v>
      </c>
      <c r="G50" s="18" t="s">
        <v>30</v>
      </c>
      <c r="H50" s="19">
        <f>SUMIFS(Data!$G$2:$G$11,Data!$H$2:$H$11,1,Data!$C$2:$C$11,$G50)</f>
        <v>1734000</v>
      </c>
      <c r="I50" s="20">
        <f>SUMIFS(Data!$E$2:$E$11,Data!$H$2:$H$11,1,Data!$C$2:$C$11,$G50)</f>
        <v>31</v>
      </c>
      <c r="J50" s="20">
        <f>COUNTIFS(Data!$H$2:$H$11,1,Data!$C$2:$C$11,$G50)</f>
        <v>4</v>
      </c>
      <c r="M50" s="18" t="s">
        <v>31</v>
      </c>
      <c r="N50" s="19">
        <f>SUMIFS(Data!$G$2:$G$11,Data!$H$2:$H$11,1,Data!$D$2:$D$11,$M50)</f>
        <v>2085000</v>
      </c>
      <c r="O50" s="20">
        <f>SUMIFS(Data!$E$2:$E$11,Data!$H$2:$H$11,1,Data!$D$2:$D$11,$M50)</f>
        <v>7</v>
      </c>
      <c r="P50" s="20">
        <f>COUNTIFS(Data!$H$2:$H$11,1,Data!$D$2:$D$11,$M50)</f>
        <v>3</v>
      </c>
      <c r="S50" s="21">
        <f>Data!$A$2</f>
        <v>46266</v>
      </c>
      <c r="T50" s="19">
        <f>SUMIFS(Data!$G$2:$G$11,Data!$H$2:$H$11,1,Data!$A$2:$A$11,$S50)</f>
        <v>900000</v>
      </c>
      <c r="U50" s="20">
        <f>SUMIFS(Data!$E$2:$E$11,Data!$H$2:$H$11,1,Data!$A$2:$A$11,$S50)</f>
        <v>2</v>
      </c>
      <c r="V50" s="20">
        <f>COUNTIFS(Data!$H$2:$H$11,1,Data!$A$2:$A$11,$S50)</f>
        <v>1</v>
      </c>
    </row>
    <row r="51" spans="1:24" x14ac:dyDescent="0.25">
      <c r="A51" s="22" t="s">
        <v>32</v>
      </c>
      <c r="B51" s="23">
        <f>SUMIFS(Data!$G$2:$G$11,Data!$H$2:$H$11,1,Data!$B$2:$B$11,$A51)</f>
        <v>665000</v>
      </c>
      <c r="C51" s="24">
        <f>SUMIFS(Data!$E$2:$E$11,Data!$H$2:$H$11,1,Data!$B$2:$B$11,$A51)</f>
        <v>7</v>
      </c>
      <c r="D51" s="24">
        <f>COUNTIFS(Data!$H$2:$H$11,1,Data!$B$2:$B$11,$A51)</f>
        <v>2</v>
      </c>
      <c r="G51" s="22" t="s">
        <v>33</v>
      </c>
      <c r="H51" s="23">
        <f>SUMIFS(Data!$G$2:$G$11,Data!$H$2:$H$11,1,Data!$C$2:$C$11,$G51)</f>
        <v>785000</v>
      </c>
      <c r="I51" s="24">
        <f>SUMIFS(Data!$E$2:$E$11,Data!$H$2:$H$11,1,Data!$C$2:$C$11,$G51)</f>
        <v>17</v>
      </c>
      <c r="J51" s="24">
        <f>COUNTIFS(Data!$H$2:$H$11,1,Data!$C$2:$C$11,$G51)</f>
        <v>3</v>
      </c>
      <c r="M51" s="22" t="s">
        <v>34</v>
      </c>
      <c r="N51" s="23">
        <f>SUMIFS(Data!$G$2:$G$11,Data!$H$2:$H$11,1,Data!$D$2:$D$11,$M51)</f>
        <v>954000</v>
      </c>
      <c r="O51" s="24">
        <f>SUMIFS(Data!$E$2:$E$11,Data!$H$2:$H$11,1,Data!$D$2:$D$11,$M51)</f>
        <v>39</v>
      </c>
      <c r="P51" s="24">
        <f>COUNTIFS(Data!$H$2:$H$11,1,Data!$D$2:$D$11,$M51)</f>
        <v>4</v>
      </c>
      <c r="S51" s="25">
        <f>Data!$A$3</f>
        <v>46267</v>
      </c>
      <c r="T51" s="23">
        <f>SUMIFS(Data!$G$2:$G$11,Data!$H$2:$H$11,1,Data!$A$2:$A$11,$S51)</f>
        <v>120000</v>
      </c>
      <c r="U51" s="24">
        <f>SUMIFS(Data!$E$2:$E$11,Data!$H$2:$H$11,1,Data!$A$2:$A$11,$S51)</f>
        <v>10</v>
      </c>
      <c r="V51" s="24">
        <f>COUNTIFS(Data!$H$2:$H$11,1,Data!$A$2:$A$11,$S51)</f>
        <v>1</v>
      </c>
    </row>
    <row r="52" spans="1:24" x14ac:dyDescent="0.25">
      <c r="A52" s="18" t="s">
        <v>35</v>
      </c>
      <c r="B52" s="19">
        <f>SUMIFS(Data!$G$2:$G$11,Data!$H$2:$H$11,1,Data!$B$2:$B$11,$A52)</f>
        <v>234000</v>
      </c>
      <c r="C52" s="20">
        <f>SUMIFS(Data!$E$2:$E$11,Data!$H$2:$H$11,1,Data!$B$2:$B$11,$A52)</f>
        <v>13</v>
      </c>
      <c r="D52" s="20">
        <f>COUNTIFS(Data!$H$2:$H$11,1,Data!$B$2:$B$11,$A52)</f>
        <v>2</v>
      </c>
      <c r="G52" s="18" t="s">
        <v>36</v>
      </c>
      <c r="H52" s="19">
        <f>SUMIFS(Data!$G$2:$G$11,Data!$H$2:$H$11,1,Data!$C$2:$C$11,$G52)</f>
        <v>1170000</v>
      </c>
      <c r="I52" s="20">
        <f>SUMIFS(Data!$E$2:$E$11,Data!$H$2:$H$11,1,Data!$C$2:$C$11,$G52)</f>
        <v>22</v>
      </c>
      <c r="J52" s="20">
        <f>COUNTIFS(Data!$H$2:$H$11,1,Data!$C$2:$C$11,$G52)</f>
        <v>3</v>
      </c>
      <c r="M52" s="18" t="s">
        <v>37</v>
      </c>
      <c r="N52" s="19">
        <f>SUMIFS(Data!$G$2:$G$11,Data!$H$2:$H$11,1,Data!$D$2:$D$11,$M52)</f>
        <v>650000</v>
      </c>
      <c r="O52" s="20">
        <f>SUMIFS(Data!$E$2:$E$11,Data!$H$2:$H$11,1,Data!$D$2:$D$11,$M52)</f>
        <v>24</v>
      </c>
      <c r="P52" s="20">
        <f>COUNTIFS(Data!$H$2:$H$11,1,Data!$D$2:$D$11,$M52)</f>
        <v>3</v>
      </c>
      <c r="S52" s="21">
        <f>Data!$A$4</f>
        <v>46268</v>
      </c>
      <c r="T52" s="19">
        <f>SUMIFS(Data!$G$2:$G$11,Data!$H$2:$H$11,1,Data!$A$2:$A$11,$S52)</f>
        <v>90000</v>
      </c>
      <c r="U52" s="20">
        <f>SUMIFS(Data!$E$2:$E$11,Data!$H$2:$H$11,1,Data!$A$2:$A$11,$S52)</f>
        <v>5</v>
      </c>
      <c r="V52" s="20">
        <f>COUNTIFS(Data!$H$2:$H$11,1,Data!$A$2:$A$11,$S52)</f>
        <v>1</v>
      </c>
    </row>
    <row r="53" spans="1:24" x14ac:dyDescent="0.25">
      <c r="A53" s="22" t="s">
        <v>38</v>
      </c>
      <c r="B53" s="23">
        <f>SUMIFS(Data!$G$2:$G$11,Data!$H$2:$H$11,1,Data!$B$2:$B$11,$A53)</f>
        <v>540000</v>
      </c>
      <c r="C53" s="24">
        <f>SUMIFS(Data!$E$2:$E$11,Data!$H$2:$H$11,1,Data!$B$2:$B$11,$A53)</f>
        <v>45</v>
      </c>
      <c r="D53" s="24">
        <f>COUNTIFS(Data!$H$2:$H$11,1,Data!$B$2:$B$11,$A53)</f>
        <v>3</v>
      </c>
      <c r="G53" s="26" t="s">
        <v>39</v>
      </c>
      <c r="H53" s="27">
        <f>SUM(H50:H52)</f>
        <v>3689000</v>
      </c>
      <c r="I53" s="28">
        <f>SUM(I50:I52)</f>
        <v>70</v>
      </c>
      <c r="J53" s="28">
        <f>SUM(J50:J52)</f>
        <v>10</v>
      </c>
      <c r="M53" s="26" t="s">
        <v>39</v>
      </c>
      <c r="N53" s="27">
        <f>SUM(N50:N52)</f>
        <v>3689000</v>
      </c>
      <c r="O53" s="28">
        <f>SUM(O50:O52)</f>
        <v>70</v>
      </c>
      <c r="P53" s="28">
        <f>SUM(P50:P52)</f>
        <v>10</v>
      </c>
      <c r="S53" s="25">
        <f>Data!$A$5</f>
        <v>46269</v>
      </c>
      <c r="T53" s="23">
        <f>SUMIFS(Data!$G$2:$G$11,Data!$H$2:$H$11,1,Data!$A$2:$A$11,$S53)</f>
        <v>450000</v>
      </c>
      <c r="U53" s="24">
        <f>SUMIFS(Data!$E$2:$E$11,Data!$H$2:$H$11,1,Data!$A$2:$A$11,$S53)</f>
        <v>1</v>
      </c>
      <c r="V53" s="24">
        <f>COUNTIFS(Data!$H$2:$H$11,1,Data!$A$2:$A$11,$S53)</f>
        <v>1</v>
      </c>
    </row>
    <row r="54" spans="1:24" x14ac:dyDescent="0.25">
      <c r="A54" s="26" t="s">
        <v>39</v>
      </c>
      <c r="B54" s="27">
        <f>SUM(B50:B53)</f>
        <v>3689000</v>
      </c>
      <c r="C54" s="28">
        <f>SUM(C50:C53)</f>
        <v>70</v>
      </c>
      <c r="D54" s="28">
        <f>SUM(D50:D53)</f>
        <v>10</v>
      </c>
      <c r="S54" s="21">
        <f>Data!$A$6</f>
        <v>46270</v>
      </c>
      <c r="T54" s="19">
        <f>SUMIFS(Data!$G$2:$G$11,Data!$H$2:$H$11,1,Data!$A$2:$A$11,$S54)</f>
        <v>285000</v>
      </c>
      <c r="U54" s="20">
        <f>SUMIFS(Data!$E$2:$E$11,Data!$H$2:$H$11,1,Data!$A$2:$A$11,$S54)</f>
        <v>3</v>
      </c>
      <c r="V54" s="20">
        <f>COUNTIFS(Data!$H$2:$H$11,1,Data!$A$2:$A$11,$S54)</f>
        <v>1</v>
      </c>
    </row>
    <row r="55" spans="1:24" x14ac:dyDescent="0.25">
      <c r="S55" s="25">
        <f>Data!$A$7</f>
        <v>46271</v>
      </c>
      <c r="T55" s="23">
        <f>SUMIFS(Data!$G$2:$G$11,Data!$H$2:$H$11,1,Data!$A$2:$A$11,$S55)</f>
        <v>180000</v>
      </c>
      <c r="U55" s="24">
        <f>SUMIFS(Data!$E$2:$E$11,Data!$H$2:$H$11,1,Data!$A$2:$A$11,$S55)</f>
        <v>15</v>
      </c>
      <c r="V55" s="24">
        <f>COUNTIFS(Data!$H$2:$H$11,1,Data!$A$2:$A$11,$S55)</f>
        <v>1</v>
      </c>
    </row>
    <row r="56" spans="1:24" x14ac:dyDescent="0.25">
      <c r="S56" s="21">
        <f>Data!$A$8</f>
        <v>46272</v>
      </c>
      <c r="T56" s="19">
        <f>SUMIFS(Data!$G$2:$G$11,Data!$H$2:$H$11,1,Data!$A$2:$A$11,$S56)</f>
        <v>144000</v>
      </c>
      <c r="U56" s="20">
        <f>SUMIFS(Data!$E$2:$E$11,Data!$H$2:$H$11,1,Data!$A$2:$A$11,$S56)</f>
        <v>8</v>
      </c>
      <c r="V56" s="20">
        <f>COUNTIFS(Data!$H$2:$H$11,1,Data!$A$2:$A$11,$S56)</f>
        <v>1</v>
      </c>
    </row>
    <row r="57" spans="1:24" x14ac:dyDescent="0.25">
      <c r="S57" s="25">
        <f>Data!$A$9</f>
        <v>46273</v>
      </c>
      <c r="T57" s="23">
        <f>SUMIFS(Data!$G$2:$G$11,Data!$H$2:$H$11,1,Data!$A$2:$A$11,$S57)</f>
        <v>380000</v>
      </c>
      <c r="U57" s="24">
        <f>SUMIFS(Data!$E$2:$E$11,Data!$H$2:$H$11,1,Data!$A$2:$A$11,$S57)</f>
        <v>4</v>
      </c>
      <c r="V57" s="24">
        <f>COUNTIFS(Data!$H$2:$H$11,1,Data!$A$2:$A$11,$S57)</f>
        <v>1</v>
      </c>
    </row>
    <row r="58" spans="1:24" x14ac:dyDescent="0.25">
      <c r="S58" s="21">
        <f>Data!$A$10</f>
        <v>46274</v>
      </c>
      <c r="T58" s="19">
        <f>SUMIFS(Data!$G$2:$G$11,Data!$H$2:$H$11,1,Data!$A$2:$A$11,$S58)</f>
        <v>900000</v>
      </c>
      <c r="U58" s="20">
        <f>SUMIFS(Data!$E$2:$E$11,Data!$H$2:$H$11,1,Data!$A$2:$A$11,$S58)</f>
        <v>2</v>
      </c>
      <c r="V58" s="20">
        <f>COUNTIFS(Data!$H$2:$H$11,1,Data!$A$2:$A$11,$S58)</f>
        <v>1</v>
      </c>
    </row>
    <row r="59" spans="1:24" x14ac:dyDescent="0.25">
      <c r="S59" s="25">
        <f>Data!$A$11</f>
        <v>46275</v>
      </c>
      <c r="T59" s="23">
        <f>SUMIFS(Data!$G$2:$G$11,Data!$H$2:$H$11,1,Data!$A$2:$A$11,$S59)</f>
        <v>240000</v>
      </c>
      <c r="U59" s="24">
        <f>SUMIFS(Data!$E$2:$E$11,Data!$H$2:$H$11,1,Data!$A$2:$A$11,$S59)</f>
        <v>20</v>
      </c>
      <c r="V59" s="24">
        <f>COUNTIFS(Data!$H$2:$H$11,1,Data!$A$2:$A$11,$S59)</f>
        <v>1</v>
      </c>
    </row>
    <row r="60" spans="1:24" x14ac:dyDescent="0.25">
      <c r="S60" s="26" t="s">
        <v>39</v>
      </c>
      <c r="T60" s="27">
        <f>SUM(T50:T59)</f>
        <v>3689000</v>
      </c>
      <c r="U60" s="28">
        <f>SUM(U50:U59)</f>
        <v>70</v>
      </c>
      <c r="V60" s="28">
        <f>SUM(V50:V59)</f>
        <v>10</v>
      </c>
    </row>
    <row r="62" spans="1:24" x14ac:dyDescent="0.25">
      <c r="A62" s="51" t="s">
        <v>40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</sheetData>
  <mergeCells count="35">
    <mergeCell ref="A48:D48"/>
    <mergeCell ref="G48:J48"/>
    <mergeCell ref="M48:P48"/>
    <mergeCell ref="S48:V48"/>
    <mergeCell ref="A62:X62"/>
    <mergeCell ref="A13:D14"/>
    <mergeCell ref="G13:J14"/>
    <mergeCell ref="M13:P14"/>
    <mergeCell ref="S13:V14"/>
    <mergeCell ref="A15:D15"/>
    <mergeCell ref="G15:J15"/>
    <mergeCell ref="M15:P15"/>
    <mergeCell ref="S15:V15"/>
    <mergeCell ref="A10:D10"/>
    <mergeCell ref="G10:J10"/>
    <mergeCell ref="M10:P10"/>
    <mergeCell ref="S10:V10"/>
    <mergeCell ref="A12:D12"/>
    <mergeCell ref="G12:J12"/>
    <mergeCell ref="M12:P12"/>
    <mergeCell ref="S12:V12"/>
    <mergeCell ref="A7:D7"/>
    <mergeCell ref="G7:J7"/>
    <mergeCell ref="M7:P7"/>
    <mergeCell ref="S7:V7"/>
    <mergeCell ref="A8:D9"/>
    <mergeCell ref="G8:J9"/>
    <mergeCell ref="M8:P9"/>
    <mergeCell ref="S8:V9"/>
    <mergeCell ref="A1:L1"/>
    <mergeCell ref="A2:X2"/>
    <mergeCell ref="S4:X5"/>
    <mergeCell ref="A5:D5"/>
    <mergeCell ref="G5:J5"/>
    <mergeCell ref="M5:P5"/>
  </mergeCells>
  <phoneticPr fontId="20" type="noConversion"/>
  <pageMargins left="0.25" right="0.25" top="0.3" bottom="0.3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Lists!$A$2:$A$5</xm:f>
          </x14:formula1>
          <x14:formula2>
            <xm:f>0</xm:f>
          </x14:formula2>
          <xm:sqref>A5</xm:sqref>
        </x14:dataValidation>
        <x14:dataValidation type="list" xr:uid="{00000000-0002-0000-0000-000001000000}">
          <x14:formula1>
            <xm:f>Lists!$B$2:$B$6</xm:f>
          </x14:formula1>
          <x14:formula2>
            <xm:f>0</xm:f>
          </x14:formula2>
          <xm:sqref>G5</xm:sqref>
        </x14:dataValidation>
        <x14:dataValidation type="list" xr:uid="{00000000-0002-0000-0000-000002000000}">
          <x14:formula1>
            <xm:f>Lists!$C$2:$C$5</xm:f>
          </x14:formula1>
          <x14:formula2>
            <xm:f>0</xm:f>
          </x14:formula2>
          <xm:sqref>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Normal="100" workbookViewId="0">
      <pane ySplit="1" topLeftCell="A2" activePane="bottomLeft" state="frozen"/>
      <selection pane="bottomLeft" activeCell="D25" sqref="D25"/>
    </sheetView>
  </sheetViews>
  <sheetFormatPr defaultColWidth="8.7109375" defaultRowHeight="15" x14ac:dyDescent="0.25"/>
  <cols>
    <col min="1" max="1" width="12" customWidth="1"/>
    <col min="2" max="2" width="13" customWidth="1"/>
    <col min="3" max="3" width="11" customWidth="1"/>
    <col min="4" max="4" width="14" customWidth="1"/>
    <col min="5" max="5" width="11" customWidth="1"/>
    <col min="6" max="6" width="14" customWidth="1"/>
    <col min="7" max="8" width="16" customWidth="1"/>
  </cols>
  <sheetData>
    <row r="1" spans="1:8" x14ac:dyDescent="0.25">
      <c r="A1" s="30" t="s">
        <v>28</v>
      </c>
      <c r="B1" s="30" t="s">
        <v>2</v>
      </c>
      <c r="C1" s="30" t="s">
        <v>1</v>
      </c>
      <c r="D1" s="30" t="s">
        <v>3</v>
      </c>
      <c r="E1" s="30" t="s">
        <v>41</v>
      </c>
      <c r="F1" s="30" t="s">
        <v>42</v>
      </c>
      <c r="G1" s="30" t="s">
        <v>6</v>
      </c>
      <c r="H1" s="30" t="s">
        <v>43</v>
      </c>
    </row>
    <row r="2" spans="1:8" x14ac:dyDescent="0.25">
      <c r="A2" s="31">
        <v>46266</v>
      </c>
      <c r="B2" s="32" t="s">
        <v>29</v>
      </c>
      <c r="C2" s="32" t="s">
        <v>30</v>
      </c>
      <c r="D2" s="32" t="s">
        <v>31</v>
      </c>
      <c r="E2" s="33">
        <v>2</v>
      </c>
      <c r="F2" s="34">
        <v>450000</v>
      </c>
      <c r="G2" s="19">
        <f t="shared" ref="G2:G11" si="0">E2*F2</f>
        <v>900000</v>
      </c>
      <c r="H2" s="20">
        <f>IF(AND(OR(Dashboard!$A$5="All",C2=Dashboard!$A$5),OR(Dashboard!$G$5="All",B2=Dashboard!$G$5),OR(Dashboard!$M$5="All",D2=Dashboard!$M$5)),1,0)</f>
        <v>1</v>
      </c>
    </row>
    <row r="3" spans="1:8" x14ac:dyDescent="0.25">
      <c r="A3" s="31">
        <v>46267</v>
      </c>
      <c r="B3" s="32" t="s">
        <v>38</v>
      </c>
      <c r="C3" s="32" t="s">
        <v>33</v>
      </c>
      <c r="D3" s="32" t="s">
        <v>34</v>
      </c>
      <c r="E3" s="33">
        <v>10</v>
      </c>
      <c r="F3" s="34">
        <v>12000</v>
      </c>
      <c r="G3" s="19">
        <f t="shared" si="0"/>
        <v>120000</v>
      </c>
      <c r="H3" s="20">
        <f>IF(AND(OR(Dashboard!$A$5="All",C3=Dashboard!$A$5),OR(Dashboard!$G$5="All",B3=Dashboard!$G$5),OR(Dashboard!$M$5="All",D3=Dashboard!$M$5)),1,0)</f>
        <v>1</v>
      </c>
    </row>
    <row r="4" spans="1:8" x14ac:dyDescent="0.25">
      <c r="A4" s="31">
        <v>46268</v>
      </c>
      <c r="B4" s="32" t="s">
        <v>35</v>
      </c>
      <c r="C4" s="32" t="s">
        <v>36</v>
      </c>
      <c r="D4" s="32" t="s">
        <v>37</v>
      </c>
      <c r="E4" s="33">
        <v>5</v>
      </c>
      <c r="F4" s="34">
        <v>18000</v>
      </c>
      <c r="G4" s="19">
        <f t="shared" si="0"/>
        <v>90000</v>
      </c>
      <c r="H4" s="20">
        <f>IF(AND(OR(Dashboard!$A$5="All",C4=Dashboard!$A$5),OR(Dashboard!$G$5="All",B4=Dashboard!$G$5),OR(Dashboard!$M$5="All",D4=Dashboard!$M$5)),1,0)</f>
        <v>1</v>
      </c>
    </row>
    <row r="5" spans="1:8" x14ac:dyDescent="0.25">
      <c r="A5" s="31">
        <v>46269</v>
      </c>
      <c r="B5" s="32" t="s">
        <v>29</v>
      </c>
      <c r="C5" s="32" t="s">
        <v>30</v>
      </c>
      <c r="D5" s="32" t="s">
        <v>34</v>
      </c>
      <c r="E5" s="33">
        <v>1</v>
      </c>
      <c r="F5" s="34">
        <v>450000</v>
      </c>
      <c r="G5" s="19">
        <f t="shared" si="0"/>
        <v>450000</v>
      </c>
      <c r="H5" s="20">
        <f>IF(AND(OR(Dashboard!$A$5="All",C5=Dashboard!$A$5),OR(Dashboard!$G$5="All",B5=Dashboard!$G$5),OR(Dashboard!$M$5="All",D5=Dashboard!$M$5)),1,0)</f>
        <v>1</v>
      </c>
    </row>
    <row r="6" spans="1:8" x14ac:dyDescent="0.25">
      <c r="A6" s="31">
        <v>46270</v>
      </c>
      <c r="B6" s="32" t="s">
        <v>32</v>
      </c>
      <c r="C6" s="32" t="s">
        <v>33</v>
      </c>
      <c r="D6" s="32" t="s">
        <v>31</v>
      </c>
      <c r="E6" s="33">
        <v>3</v>
      </c>
      <c r="F6" s="34">
        <v>95000</v>
      </c>
      <c r="G6" s="19">
        <f t="shared" si="0"/>
        <v>285000</v>
      </c>
      <c r="H6" s="20">
        <f>IF(AND(OR(Dashboard!$A$5="All",C6=Dashboard!$A$5),OR(Dashboard!$G$5="All",B6=Dashboard!$G$5),OR(Dashboard!$M$5="All",D6=Dashboard!$M$5)),1,0)</f>
        <v>1</v>
      </c>
    </row>
    <row r="7" spans="1:8" x14ac:dyDescent="0.25">
      <c r="A7" s="31">
        <v>46271</v>
      </c>
      <c r="B7" s="32" t="s">
        <v>38</v>
      </c>
      <c r="C7" s="32" t="s">
        <v>36</v>
      </c>
      <c r="D7" s="32" t="s">
        <v>37</v>
      </c>
      <c r="E7" s="33">
        <v>15</v>
      </c>
      <c r="F7" s="34">
        <v>12000</v>
      </c>
      <c r="G7" s="19">
        <f t="shared" si="0"/>
        <v>180000</v>
      </c>
      <c r="H7" s="20">
        <f>IF(AND(OR(Dashboard!$A$5="All",C7=Dashboard!$A$5),OR(Dashboard!$G$5="All",B7=Dashboard!$G$5),OR(Dashboard!$M$5="All",D7=Dashboard!$M$5)),1,0)</f>
        <v>1</v>
      </c>
    </row>
    <row r="8" spans="1:8" x14ac:dyDescent="0.25">
      <c r="A8" s="31">
        <v>46272</v>
      </c>
      <c r="B8" s="32" t="s">
        <v>35</v>
      </c>
      <c r="C8" s="32" t="s">
        <v>30</v>
      </c>
      <c r="D8" s="32" t="s">
        <v>34</v>
      </c>
      <c r="E8" s="33">
        <v>8</v>
      </c>
      <c r="F8" s="34">
        <v>18000</v>
      </c>
      <c r="G8" s="19">
        <f t="shared" si="0"/>
        <v>144000</v>
      </c>
      <c r="H8" s="20">
        <f>IF(AND(OR(Dashboard!$A$5="All",C8=Dashboard!$A$5),OR(Dashboard!$G$5="All",B8=Dashboard!$G$5),OR(Dashboard!$M$5="All",D8=Dashboard!$M$5)),1,0)</f>
        <v>1</v>
      </c>
    </row>
    <row r="9" spans="1:8" x14ac:dyDescent="0.25">
      <c r="A9" s="31">
        <v>46273</v>
      </c>
      <c r="B9" s="32" t="s">
        <v>32</v>
      </c>
      <c r="C9" s="32" t="s">
        <v>33</v>
      </c>
      <c r="D9" s="32" t="s">
        <v>37</v>
      </c>
      <c r="E9" s="33">
        <v>4</v>
      </c>
      <c r="F9" s="34">
        <v>95000</v>
      </c>
      <c r="G9" s="19">
        <f t="shared" si="0"/>
        <v>380000</v>
      </c>
      <c r="H9" s="20">
        <f>IF(AND(OR(Dashboard!$A$5="All",C9=Dashboard!$A$5),OR(Dashboard!$G$5="All",B9=Dashboard!$G$5),OR(Dashboard!$M$5="All",D9=Dashboard!$M$5)),1,0)</f>
        <v>1</v>
      </c>
    </row>
    <row r="10" spans="1:8" x14ac:dyDescent="0.25">
      <c r="A10" s="31">
        <v>46274</v>
      </c>
      <c r="B10" s="32" t="s">
        <v>29</v>
      </c>
      <c r="C10" s="32" t="s">
        <v>36</v>
      </c>
      <c r="D10" s="32" t="s">
        <v>31</v>
      </c>
      <c r="E10" s="33">
        <v>2</v>
      </c>
      <c r="F10" s="34">
        <v>450000</v>
      </c>
      <c r="G10" s="19">
        <f t="shared" si="0"/>
        <v>900000</v>
      </c>
      <c r="H10" s="20">
        <f>IF(AND(OR(Dashboard!$A$5="All",C10=Dashboard!$A$5),OR(Dashboard!$G$5="All",B10=Dashboard!$G$5),OR(Dashboard!$M$5="All",D10=Dashboard!$M$5)),1,0)</f>
        <v>1</v>
      </c>
    </row>
    <row r="11" spans="1:8" x14ac:dyDescent="0.25">
      <c r="A11" s="31">
        <v>46275</v>
      </c>
      <c r="B11" s="32" t="s">
        <v>38</v>
      </c>
      <c r="C11" s="32" t="s">
        <v>30</v>
      </c>
      <c r="D11" s="32" t="s">
        <v>34</v>
      </c>
      <c r="E11" s="33">
        <v>20</v>
      </c>
      <c r="F11" s="34">
        <v>12000</v>
      </c>
      <c r="G11" s="19">
        <f t="shared" si="0"/>
        <v>240000</v>
      </c>
      <c r="H11" s="20">
        <f>IF(AND(OR(Dashboard!$A$5="All",C11=Dashboard!$A$5),OR(Dashboard!$G$5="All",B11=Dashboard!$G$5),OR(Dashboard!$M$5="All",D11=Dashboard!$M$5)),1,0)</f>
        <v>1</v>
      </c>
    </row>
    <row r="12" spans="1:8" x14ac:dyDescent="0.25">
      <c r="A12" s="35" t="s">
        <v>44</v>
      </c>
      <c r="E12" s="36">
        <f>SUM(E2:E11)</f>
        <v>70</v>
      </c>
      <c r="F12" s="35"/>
      <c r="G12" s="37">
        <f>SUM(G2:G11)</f>
        <v>3689000</v>
      </c>
      <c r="H12" s="36">
        <f>SUM(H2:H11)</f>
        <v>10</v>
      </c>
    </row>
    <row r="14" spans="1:8" x14ac:dyDescent="0.25">
      <c r="A14" s="38" t="s">
        <v>45</v>
      </c>
    </row>
    <row r="15" spans="1:8" x14ac:dyDescent="0.25">
      <c r="A15" s="39" t="s">
        <v>46</v>
      </c>
    </row>
    <row r="16" spans="1:8" x14ac:dyDescent="0.25">
      <c r="A16" s="39" t="s">
        <v>47</v>
      </c>
    </row>
    <row r="17" spans="1:1" x14ac:dyDescent="0.25">
      <c r="A17" s="39" t="s">
        <v>48</v>
      </c>
    </row>
    <row r="18" spans="1:1" x14ac:dyDescent="0.25">
      <c r="A18" s="39" t="s">
        <v>49</v>
      </c>
    </row>
  </sheetData>
  <autoFilter ref="A1:H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/>
  </sheetViews>
  <sheetFormatPr defaultColWidth="8.7109375"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5</v>
      </c>
      <c r="B2" t="s">
        <v>5</v>
      </c>
      <c r="C2" t="s">
        <v>5</v>
      </c>
    </row>
    <row r="3" spans="1:3" x14ac:dyDescent="0.25">
      <c r="A3" t="s">
        <v>30</v>
      </c>
      <c r="B3" t="s">
        <v>29</v>
      </c>
      <c r="C3" t="s">
        <v>31</v>
      </c>
    </row>
    <row r="4" spans="1:3" x14ac:dyDescent="0.25">
      <c r="A4" t="s">
        <v>33</v>
      </c>
      <c r="B4" t="s">
        <v>32</v>
      </c>
      <c r="C4" t="s">
        <v>34</v>
      </c>
    </row>
    <row r="5" spans="1:3" x14ac:dyDescent="0.25">
      <c r="A5" t="s">
        <v>36</v>
      </c>
      <c r="B5" t="s">
        <v>35</v>
      </c>
      <c r="C5" t="s">
        <v>37</v>
      </c>
    </row>
    <row r="6" spans="1:3" x14ac:dyDescent="0.25">
      <c r="B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18" customWidth="1"/>
    <col min="3" max="3" width="12" customWidth="1"/>
    <col min="4" max="4" width="62" customWidth="1"/>
  </cols>
  <sheetData>
    <row r="1" spans="1:4" ht="20.25" x14ac:dyDescent="0.3">
      <c r="A1" s="40" t="s">
        <v>50</v>
      </c>
    </row>
    <row r="2" spans="1:4" x14ac:dyDescent="0.25">
      <c r="A2" s="14" t="s">
        <v>51</v>
      </c>
    </row>
    <row r="4" spans="1:4" x14ac:dyDescent="0.25">
      <c r="A4" s="41" t="s">
        <v>52</v>
      </c>
      <c r="B4" s="42"/>
      <c r="C4" s="42"/>
      <c r="D4" s="42"/>
    </row>
    <row r="5" spans="1:4" x14ac:dyDescent="0.25">
      <c r="A5" s="43" t="s">
        <v>53</v>
      </c>
      <c r="B5" s="44">
        <f>Data!$G$12</f>
        <v>3689000</v>
      </c>
      <c r="D5" s="39" t="s">
        <v>54</v>
      </c>
    </row>
    <row r="6" spans="1:4" x14ac:dyDescent="0.25">
      <c r="A6" s="43" t="s">
        <v>7</v>
      </c>
      <c r="B6" s="45">
        <f>Data!$E$12</f>
        <v>70</v>
      </c>
      <c r="D6" s="39" t="s">
        <v>55</v>
      </c>
    </row>
    <row r="7" spans="1:4" x14ac:dyDescent="0.25">
      <c r="A7" s="43" t="s">
        <v>8</v>
      </c>
      <c r="B7" s="45">
        <f>COUNT(Data!$G$2:$G$11)</f>
        <v>10</v>
      </c>
      <c r="D7" s="39" t="s">
        <v>56</v>
      </c>
    </row>
    <row r="8" spans="1:4" x14ac:dyDescent="0.25">
      <c r="A8" s="43" t="s">
        <v>9</v>
      </c>
      <c r="B8" s="44">
        <f>B5/B7</f>
        <v>368900</v>
      </c>
      <c r="D8" s="39" t="s">
        <v>57</v>
      </c>
    </row>
    <row r="9" spans="1:4" x14ac:dyDescent="0.25">
      <c r="A9" s="43" t="s">
        <v>58</v>
      </c>
      <c r="B9" s="46">
        <f>B6/B7</f>
        <v>7</v>
      </c>
      <c r="D9" s="39" t="s">
        <v>59</v>
      </c>
    </row>
    <row r="11" spans="1:4" x14ac:dyDescent="0.25">
      <c r="A11" s="41" t="s">
        <v>60</v>
      </c>
      <c r="B11" s="42"/>
      <c r="C11" s="42"/>
      <c r="D11" s="42"/>
    </row>
    <row r="12" spans="1:4" x14ac:dyDescent="0.25">
      <c r="A12" s="15" t="s">
        <v>2</v>
      </c>
      <c r="B12" s="15" t="s">
        <v>6</v>
      </c>
      <c r="C12" s="15" t="s">
        <v>61</v>
      </c>
      <c r="D12" s="15" t="s">
        <v>62</v>
      </c>
    </row>
    <row r="13" spans="1:4" x14ac:dyDescent="0.25">
      <c r="A13" s="47" t="s">
        <v>29</v>
      </c>
      <c r="B13" s="48">
        <f>SUMIF(Data!$B$2:$B$11,$A13,Data!$G$2:$G$11)</f>
        <v>2250000</v>
      </c>
      <c r="C13" s="49">
        <f>B13/$B$5</f>
        <v>0.60992138791000272</v>
      </c>
      <c r="D13" s="39" t="s">
        <v>63</v>
      </c>
    </row>
    <row r="14" spans="1:4" x14ac:dyDescent="0.25">
      <c r="A14" s="47" t="s">
        <v>32</v>
      </c>
      <c r="B14" s="48">
        <f>SUMIF(Data!$B$2:$B$11,$A14,Data!$G$2:$G$11)</f>
        <v>665000</v>
      </c>
      <c r="C14" s="49">
        <f>B14/$B$5</f>
        <v>0.18026565464895636</v>
      </c>
      <c r="D14" s="39" t="s">
        <v>64</v>
      </c>
    </row>
    <row r="15" spans="1:4" x14ac:dyDescent="0.25">
      <c r="A15" s="47" t="s">
        <v>35</v>
      </c>
      <c r="B15" s="48">
        <f>SUMIF(Data!$B$2:$B$11,$A15,Data!$G$2:$G$11)</f>
        <v>234000</v>
      </c>
      <c r="C15" s="49">
        <f>B15/$B$5</f>
        <v>6.3431824342640275E-2</v>
      </c>
      <c r="D15" s="39" t="s">
        <v>65</v>
      </c>
    </row>
    <row r="16" spans="1:4" x14ac:dyDescent="0.25">
      <c r="A16" s="47" t="s">
        <v>38</v>
      </c>
      <c r="B16" s="48">
        <f>SUMIF(Data!$B$2:$B$11,$A16,Data!$G$2:$G$11)</f>
        <v>540000</v>
      </c>
      <c r="C16" s="49">
        <f>B16/$B$5</f>
        <v>0.14638113309840065</v>
      </c>
      <c r="D16" s="39" t="s">
        <v>66</v>
      </c>
    </row>
    <row r="18" spans="1:4" x14ac:dyDescent="0.25">
      <c r="A18" s="41" t="s">
        <v>67</v>
      </c>
      <c r="B18" s="42"/>
      <c r="C18" s="42"/>
      <c r="D18" s="42"/>
    </row>
    <row r="19" spans="1:4" x14ac:dyDescent="0.25">
      <c r="A19" s="15" t="s">
        <v>68</v>
      </c>
      <c r="B19" s="15" t="s">
        <v>6</v>
      </c>
      <c r="C19" s="15" t="s">
        <v>61</v>
      </c>
      <c r="D19" s="15" t="s">
        <v>62</v>
      </c>
    </row>
    <row r="20" spans="1:4" x14ac:dyDescent="0.25">
      <c r="A20" s="47" t="s">
        <v>30</v>
      </c>
      <c r="B20" s="48">
        <f>SUMIF(Data!$C$2:$C$11,$A20,Data!$G$2:$G$11)</f>
        <v>1734000</v>
      </c>
      <c r="C20" s="49">
        <f t="shared" ref="C20:C25" si="0">B20/$B$5</f>
        <v>0.47004608294930877</v>
      </c>
      <c r="D20" s="39" t="s">
        <v>69</v>
      </c>
    </row>
    <row r="21" spans="1:4" x14ac:dyDescent="0.25">
      <c r="A21" s="47" t="s">
        <v>33</v>
      </c>
      <c r="B21" s="48">
        <f>SUMIF(Data!$C$2:$C$11,$A21,Data!$G$2:$G$11)</f>
        <v>785000</v>
      </c>
      <c r="C21" s="49">
        <f t="shared" si="0"/>
        <v>0.21279479533748982</v>
      </c>
      <c r="D21" s="39" t="s">
        <v>70</v>
      </c>
    </row>
    <row r="22" spans="1:4" x14ac:dyDescent="0.25">
      <c r="A22" s="47" t="s">
        <v>36</v>
      </c>
      <c r="B22" s="48">
        <f>SUMIF(Data!$C$2:$C$11,$A22,Data!$G$2:$G$11)</f>
        <v>1170000</v>
      </c>
      <c r="C22" s="49">
        <f t="shared" si="0"/>
        <v>0.31715912171320143</v>
      </c>
      <c r="D22" s="39" t="s">
        <v>71</v>
      </c>
    </row>
    <row r="23" spans="1:4" x14ac:dyDescent="0.25">
      <c r="A23" s="47" t="s">
        <v>31</v>
      </c>
      <c r="B23" s="48">
        <f>SUMIF(Data!$D$2:$D$11,$A23,Data!$G$2:$G$11)</f>
        <v>2085000</v>
      </c>
      <c r="C23" s="49">
        <f t="shared" si="0"/>
        <v>0.56519381946326919</v>
      </c>
      <c r="D23" s="39" t="s">
        <v>72</v>
      </c>
    </row>
    <row r="24" spans="1:4" x14ac:dyDescent="0.25">
      <c r="A24" s="47" t="s">
        <v>34</v>
      </c>
      <c r="B24" s="48">
        <f>SUMIF(Data!$D$2:$D$11,$A24,Data!$G$2:$G$11)</f>
        <v>954000</v>
      </c>
      <c r="C24" s="49">
        <f t="shared" si="0"/>
        <v>0.25860666847384117</v>
      </c>
      <c r="D24" s="39" t="s">
        <v>73</v>
      </c>
    </row>
    <row r="25" spans="1:4" x14ac:dyDescent="0.25">
      <c r="A25" s="47" t="s">
        <v>37</v>
      </c>
      <c r="B25" s="48">
        <f>SUMIF(Data!$D$2:$D$11,$A25,Data!$G$2:$G$11)</f>
        <v>650000</v>
      </c>
      <c r="C25" s="49">
        <f t="shared" si="0"/>
        <v>0.17619951206288967</v>
      </c>
      <c r="D25" s="39" t="s">
        <v>74</v>
      </c>
    </row>
    <row r="27" spans="1:4" x14ac:dyDescent="0.25">
      <c r="A27" s="41" t="s">
        <v>75</v>
      </c>
      <c r="B27" s="42"/>
      <c r="C27" s="42"/>
      <c r="D27" s="42"/>
    </row>
    <row r="28" spans="1:4" ht="27.75" customHeight="1" x14ac:dyDescent="0.25">
      <c r="A28" s="52" t="s">
        <v>76</v>
      </c>
      <c r="B28" s="52"/>
      <c r="C28" s="52"/>
      <c r="D28" s="52"/>
    </row>
    <row r="29" spans="1:4" ht="27.75" customHeight="1" x14ac:dyDescent="0.25">
      <c r="A29" s="52" t="s">
        <v>77</v>
      </c>
      <c r="B29" s="52"/>
      <c r="C29" s="52"/>
      <c r="D29" s="52"/>
    </row>
    <row r="30" spans="1:4" ht="27.75" customHeight="1" x14ac:dyDescent="0.25">
      <c r="A30" s="52" t="s">
        <v>78</v>
      </c>
      <c r="B30" s="52"/>
      <c r="C30" s="52"/>
      <c r="D30" s="52"/>
    </row>
    <row r="31" spans="1:4" ht="27.75" customHeight="1" x14ac:dyDescent="0.25">
      <c r="A31" s="52" t="s">
        <v>79</v>
      </c>
      <c r="B31" s="52"/>
      <c r="C31" s="52"/>
      <c r="D31" s="52"/>
    </row>
    <row r="32" spans="1:4" ht="27.75" customHeight="1" x14ac:dyDescent="0.25">
      <c r="A32" s="52" t="s">
        <v>80</v>
      </c>
      <c r="B32" s="52"/>
      <c r="C32" s="52"/>
      <c r="D32" s="52"/>
    </row>
    <row r="35" spans="1:1" x14ac:dyDescent="0.25">
      <c r="A35" s="29" t="s">
        <v>81</v>
      </c>
    </row>
  </sheetData>
  <mergeCells count="5">
    <mergeCell ref="A28:D28"/>
    <mergeCell ref="A29:D29"/>
    <mergeCell ref="A30:D30"/>
    <mergeCell ref="A31:D3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Data</vt:lpstr>
      <vt:lpstr>Lists</vt:lpstr>
      <vt:lpstr>Report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Damilola Oluwagbamila</cp:lastModifiedBy>
  <cp:revision>1</cp:revision>
  <dcterms:created xsi:type="dcterms:W3CDTF">2026-09-16T22:00:26Z</dcterms:created>
  <dcterms:modified xsi:type="dcterms:W3CDTF">2026-09-16T22:25:18Z</dcterms:modified>
  <dc:language>en-US</dc:language>
</cp:coreProperties>
</file>